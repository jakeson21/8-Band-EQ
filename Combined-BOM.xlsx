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xl/tables/table4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129"/>
  <workbookPr/>
  <mc:AlternateContent xmlns:mc="http://schemas.openxmlformats.org/markup-compatibility/2006">
    <mc:Choice Requires="x15">
      <x15ac:absPath xmlns:x15ac="http://schemas.microsoft.com/office/spreadsheetml/2010/11/ac" url="D:\git-repos\Equalizer-8-band\"/>
    </mc:Choice>
  </mc:AlternateContent>
  <xr:revisionPtr revIDLastSave="0" documentId="13_ncr:1_{F6BF8C2B-86E3-4713-9D38-32708B571B63}" xr6:coauthVersionLast="47" xr6:coauthVersionMax="47" xr10:uidLastSave="{00000000-0000-0000-0000-000000000000}"/>
  <bookViews>
    <workbookView xWindow="5460" yWindow="5460" windowWidth="31290" windowHeight="14400" activeTab="3" xr2:uid="{00000000-000D-0000-FFFF-FFFF00000000}"/>
  </bookViews>
  <sheets>
    <sheet name="Main-Board-BOM" sheetId="2" r:id="rId1"/>
    <sheet name="4-Row-POT-BOM" sheetId="3" r:id="rId2"/>
    <sheet name="2-Band-BOM" sheetId="4" r:id="rId3"/>
    <sheet name="Sheet1" sheetId="5" r:id="rId4"/>
  </sheets>
  <definedNames>
    <definedName name="ExternalData_1" localSheetId="2" hidden="1">'2-Band-BOM'!$A$1:$F$13</definedName>
    <definedName name="ExternalData_1" localSheetId="1" hidden="1">'4-Row-POT-BOM'!$A$1:$F$4</definedName>
    <definedName name="ExternalData_1" localSheetId="0" hidden="1">'Main-Board-BOM'!$A$1:$F$34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59" i="5" l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865E48A3-607E-46C4-9F8C-387E63AEF99A}" keepAlive="1" name="Query - 2-Band-BOM" description="Connection to the '2-Band-BOM' query in the workbook." type="5" refreshedVersion="8" background="1" saveData="1">
    <dbPr connection="Provider=Microsoft.Mashup.OleDb.1;Data Source=$Workbook$;Location=2-Band-BOM;Extended Properties=&quot;&quot;" command="SELECT * FROM [2-Band-BOM]"/>
  </connection>
  <connection id="2" xr16:uid="{51AB25A9-0617-41A6-BE07-E5EBC4E182EF}" keepAlive="1" name="Query - 2-Band-BOM (2)" description="Connection to the '2-Band-BOM (2)' query in the workbook." type="5" refreshedVersion="8" background="1" saveData="1">
    <dbPr connection="Provider=Microsoft.Mashup.OleDb.1;Data Source=$Workbook$;Location=&quot;2-Band-BOM (2)&quot;;Extended Properties=&quot;&quot;" command="SELECT * FROM [2-Band-BOM (2)]"/>
  </connection>
  <connection id="3" xr16:uid="{63D53E85-D688-4E6A-B95F-9E09D73DEB3B}" keepAlive="1" name="Query - 4-Row-POT-BOM" description="Connection to the '4-Row-POT-BOM' query in the workbook." type="5" refreshedVersion="8" background="1" saveData="1">
    <dbPr connection="Provider=Microsoft.Mashup.OleDb.1;Data Source=$Workbook$;Location=4-Row-POT-BOM;Extended Properties=&quot;&quot;" command="SELECT * FROM [4-Row-POT-BOM]"/>
  </connection>
  <connection id="4" xr16:uid="{16512562-EDA2-4FD3-9DED-27AC3CE62889}" keepAlive="1" name="Query - 4-Row-POT-BOM (2)" description="Connection to the '4-Row-POT-BOM (2)' query in the workbook." type="5" refreshedVersion="8" background="1" saveData="1">
    <dbPr connection="Provider=Microsoft.Mashup.OleDb.1;Data Source=$Workbook$;Location=&quot;4-Row-POT-BOM (2)&quot;;Extended Properties=&quot;&quot;" command="SELECT * FROM [4-Row-POT-BOM (2)]"/>
  </connection>
  <connection id="5" xr16:uid="{B77ED05C-CBB9-4480-A269-77FD3494B23C}" keepAlive="1" name="Query - Main-Board-BOM" description="Connection to the 'Main-Board-BOM' query in the workbook." type="5" refreshedVersion="8" background="1" saveData="1">
    <dbPr connection="Provider=Microsoft.Mashup.OleDb.1;Data Source=$Workbook$;Location=Main-Board-BOM;Extended Properties=&quot;&quot;" command="SELECT * FROM [Main-Board-BOM]"/>
  </connection>
  <connection id="6" xr16:uid="{152DA6EA-4E9C-43C0-B846-ABF2A481767C}" keepAlive="1" name="Query - Main-Board-BOM (2)" description="Connection to the 'Main-Board-BOM (2)' query in the workbook." type="5" refreshedVersion="8" background="1" saveData="1">
    <dbPr connection="Provider=Microsoft.Mashup.OleDb.1;Data Source=$Workbook$;Location=&quot;Main-Board-BOM (2)&quot;;Extended Properties=&quot;&quot;" command="SELECT * FROM [Main-Board-BOM (2)]"/>
  </connection>
</connections>
</file>

<file path=xl/sharedStrings.xml><?xml version="1.0" encoding="utf-8"?>
<sst xmlns="http://schemas.openxmlformats.org/spreadsheetml/2006/main" count="509" uniqueCount="159">
  <si>
    <t>Reference</t>
  </si>
  <si>
    <t>Value</t>
  </si>
  <si>
    <t>Datasheet</t>
  </si>
  <si>
    <t>Footprint</t>
  </si>
  <si>
    <t>Qty</t>
  </si>
  <si>
    <t>DNP</t>
  </si>
  <si>
    <t>C1,C17</t>
  </si>
  <si>
    <t>10u</t>
  </si>
  <si>
    <t>https://www.digikey.com/en/products/detail/w%C3%BCrth-elektronik/865080440002/5728025</t>
  </si>
  <si>
    <t>Capacitor_SMD:CP_Elec_4x5.4</t>
  </si>
  <si>
    <t/>
  </si>
  <si>
    <t>C2</t>
  </si>
  <si>
    <t>0.22u</t>
  </si>
  <si>
    <t>https://www.digikey.com/en/products/detail/murata-electronics/GCM188R71E224KA55D/1765183</t>
  </si>
  <si>
    <t>Capacitor_SMD:C_0603_1608Metric_Pad1.08x0.95mm_HandSolder</t>
  </si>
  <si>
    <t>C3</t>
  </si>
  <si>
    <t>270p</t>
  </si>
  <si>
    <t>https://www.digikey.com/en/products/detail/yageo/CC0603KRX7R9BB271/372858</t>
  </si>
  <si>
    <t>C4,C5,C18,C20,C21</t>
  </si>
  <si>
    <t>100u</t>
  </si>
  <si>
    <t>Capacitor_THT:CP_Radial_D5.0mm_P2.00mm</t>
  </si>
  <si>
    <t>C6,C7,C22,C23</t>
  </si>
  <si>
    <t>0.1u</t>
  </si>
  <si>
    <t>https://www.digikey.com/en/products/detail/yageo/CC0603KRX7R8BB104/2103079</t>
  </si>
  <si>
    <t>C8,C9</t>
  </si>
  <si>
    <t>1u</t>
  </si>
  <si>
    <t>https://www.digikey.com/en/products/detail/kemet/C0603C105K4RACTU/2199788</t>
  </si>
  <si>
    <t>C10</t>
  </si>
  <si>
    <t>1n</t>
  </si>
  <si>
    <t>https://www.digikey.com/en/products/detail/kemet/C0603C102K4RACTU/2199721</t>
  </si>
  <si>
    <t>Capacitor_SMD:C_0805_2012Metric</t>
  </si>
  <si>
    <t>C11,C16</t>
  </si>
  <si>
    <t>22n</t>
  </si>
  <si>
    <t>https://www.digikey.com/en/products/detail/kemet/C0603C223K4RAC7867/411092</t>
  </si>
  <si>
    <t>C12,C15</t>
  </si>
  <si>
    <t>470p</t>
  </si>
  <si>
    <t>https://www.digikey.com/en/products/detail/kemet/C0603C471K3RAC7867/2200814</t>
  </si>
  <si>
    <t>C13,C14</t>
  </si>
  <si>
    <t>220p</t>
  </si>
  <si>
    <t>https://www.digikey.com/en/products/detail/kemet/C0603C221K3RAC7867/2200227</t>
  </si>
  <si>
    <t>C19</t>
  </si>
  <si>
    <t>47u</t>
  </si>
  <si>
    <t>https://www.digikey.com/en/products/detail/w%C3%BCrth-elektronik/860020372004/5727028</t>
  </si>
  <si>
    <t>C24</t>
  </si>
  <si>
    <t>https://www.digikey.com/en/products/detail/kemet/T491D107K016AT/818630</t>
  </si>
  <si>
    <t>Capacitor_Tantalum_SMD:CP_EIA-7343-31_Kemet-D_Pad2.25x2.55mm_HandSolder</t>
  </si>
  <si>
    <t>D1,D2</t>
  </si>
  <si>
    <t>1N914</t>
  </si>
  <si>
    <t>http://www.vishay.com/docs/85622/1n914.pdf</t>
  </si>
  <si>
    <t>Diode_THT:D_DO-35_SOD27_P2.54mm_Vertical_AnodeUp</t>
  </si>
  <si>
    <t>D3</t>
  </si>
  <si>
    <t>5.6V ZENER EDZVT2R5.6B</t>
  </si>
  <si>
    <t>https://www.rohm.com/datasheet?p=EDZV5.6B&amp;dist=Digi-key&amp;media=referral&amp;source=digi-key.com&amp;campaign=Digi-key</t>
  </si>
  <si>
    <t>Diode_SMD:D_SOD-523</t>
  </si>
  <si>
    <t>D4</t>
  </si>
  <si>
    <t>1.5-2V</t>
  </si>
  <si>
    <t>~</t>
  </si>
  <si>
    <t>LED_THT:LED_D3.0mm_Clear</t>
  </si>
  <si>
    <t>D5</t>
  </si>
  <si>
    <t>1N4001</t>
  </si>
  <si>
    <t>http://www.vishay.com/docs/88503/1n4001.pdf</t>
  </si>
  <si>
    <t>Diode_THT:D_DO-41_SOD81_P7.62mm_Horizontal</t>
  </si>
  <si>
    <t>J1</t>
  </si>
  <si>
    <t>Connector_JST:JST_XH_B3B-XH-A_1x03_P2.50mm_Vertical</t>
  </si>
  <si>
    <t>https://www.taydaelectronics.com/datasheets/files/A-6728.pdf</t>
  </si>
  <si>
    <t>Project_Library:Jack_6.35mm_Neutrik_NMJ4HFD2_Horizontal</t>
  </si>
  <si>
    <t>J4</t>
  </si>
  <si>
    <t>Connector_BarrelJack:BarrelJack_Horizontal</t>
  </si>
  <si>
    <t>J5</t>
  </si>
  <si>
    <t>Gain</t>
  </si>
  <si>
    <t>Connector_PinHeader_2.54mm:PinHeader_1x03_P2.54mm_Vertical</t>
  </si>
  <si>
    <t>Q1,Q3</t>
  </si>
  <si>
    <t>MMBF4393LT1G</t>
  </si>
  <si>
    <t>https://www.digikey.com/en/products/detail/onsemi/MMBF4393LT1G/919583</t>
  </si>
  <si>
    <t>Package_TO_SOT_SMD:SOT-23-3</t>
  </si>
  <si>
    <t>Q2,Q4</t>
  </si>
  <si>
    <t>10K</t>
  </si>
  <si>
    <t>R2,R24</t>
  </si>
  <si>
    <t>2.2K</t>
  </si>
  <si>
    <t>Resistor_SMD:R_0805_2012Metric</t>
  </si>
  <si>
    <t>R3</t>
  </si>
  <si>
    <t>470K</t>
  </si>
  <si>
    <t>R6,R7</t>
  </si>
  <si>
    <t>3.3K</t>
  </si>
  <si>
    <t>R9,R11,R12,R13,R17,R21,R23</t>
  </si>
  <si>
    <t>1M</t>
  </si>
  <si>
    <t>R10</t>
  </si>
  <si>
    <t>100</t>
  </si>
  <si>
    <t>R14,R15,R16,R18,R19,R20</t>
  </si>
  <si>
    <t>56K</t>
  </si>
  <si>
    <t>R22</t>
  </si>
  <si>
    <t>4.7K</t>
  </si>
  <si>
    <t>SW1</t>
  </si>
  <si>
    <t>SW_Push</t>
  </si>
  <si>
    <t>Connector_Molex:Molex_KK-254_AE-6410-02A_1x02_P2.54mm_Vertical</t>
  </si>
  <si>
    <t>U1,U2</t>
  </si>
  <si>
    <t>TL072</t>
  </si>
  <si>
    <t>http://www.ti.com/lit/ds/symlink/tl071.pdf</t>
  </si>
  <si>
    <t>Package_SO:SOIC-8_3.9x4.9mm_P1.27mm</t>
  </si>
  <si>
    <t>J1,J2</t>
  </si>
  <si>
    <t>Connector_PinSocket_2.54mm:PinSocket_2x03_P2.54mm_Vertical</t>
  </si>
  <si>
    <t>Connector_JST:JST_XH_S3B-XH-A_1x03_P2.50mm_Horizontal</t>
  </si>
  <si>
    <t>RV1,RV2,RV3,RV4</t>
  </si>
  <si>
    <t>https://www.taydaelectronics.com/potentiometer-variable-resistors/rotary-potentiometer/linear/10k-ohm-linear-taper-potentiometer-knurled-plastic-round-shaft-pcb-9mm.html</t>
  </si>
  <si>
    <t>Project_Library:Potentiometer_Alpha_RD901F-40-00D_Single_Vertical_CircularHoles</t>
  </si>
  <si>
    <t>C1</t>
  </si>
  <si>
    <t>3.3u</t>
  </si>
  <si>
    <t>C4</t>
  </si>
  <si>
    <t>1.5u</t>
  </si>
  <si>
    <t>C5,C6</t>
  </si>
  <si>
    <t>C7,C8</t>
  </si>
  <si>
    <t>Connector_PinHeader_2.54mm:PinHeader_2x03_P2.54mm_Vertical</t>
  </si>
  <si>
    <t>R1,R3</t>
  </si>
  <si>
    <t>100K</t>
  </si>
  <si>
    <t>R2,R4</t>
  </si>
  <si>
    <t>330</t>
  </si>
  <si>
    <t>U1</t>
  </si>
  <si>
    <t>https://www.digikey.com/en/products/detail/kemet/ESK107M016AC3AA/3083016</t>
  </si>
  <si>
    <t>J1,J8</t>
  </si>
  <si>
    <t>B3B-XH-A</t>
  </si>
  <si>
    <t>J2,J3</t>
  </si>
  <si>
    <t>A-6730</t>
  </si>
  <si>
    <t>A-4118</t>
  </si>
  <si>
    <t>http://www.taydaelectronics.com/datasheets/files/A-4118.pdf</t>
  </si>
  <si>
    <t>POT1</t>
  </si>
  <si>
    <t>A-4728</t>
  </si>
  <si>
    <t>2N4401D75ZCT-ND</t>
  </si>
  <si>
    <t>https://www.digikey.com/en/products/detail/onsemi/2n4401tar/458821</t>
  </si>
  <si>
    <t>Package_TO_SOT_THT:TO-92_Inline_Wide</t>
  </si>
  <si>
    <t>R1,R4,R5,R8</t>
  </si>
  <si>
    <t>https://www.digikey.com/en/products/detail/jst-sales-america-inc/b3b-xh-a/1651046</t>
  </si>
  <si>
    <t>FHMD-DA006G1NBON-B</t>
  </si>
  <si>
    <t>4324-FHMD-DA006G1NBON-B-ND</t>
  </si>
  <si>
    <t>J3,J4,J5,J6</t>
  </si>
  <si>
    <t>S3B-XH-A</t>
  </si>
  <si>
    <t>455-S3B-XH-A-ND</t>
  </si>
  <si>
    <t>33n</t>
  </si>
  <si>
    <t>0.68u</t>
  </si>
  <si>
    <t>15n</t>
  </si>
  <si>
    <t>0.33u</t>
  </si>
  <si>
    <t>C9,C11</t>
  </si>
  <si>
    <t>Capacitor_SMD:C_0805_2012Metric_Pad1.18x1.45mm_HandSolder</t>
  </si>
  <si>
    <t>C10,C12</t>
  </si>
  <si>
    <t>Capacitor_SMD:C_1206_3216Metric_Pad1.33x1.80mm_HandSolder</t>
  </si>
  <si>
    <t>PHED-DS006G1ABOGA-A006</t>
  </si>
  <si>
    <t>https://www.digikey.com/en/products/detail/superior-tech/PHED-DS006G1ABOGA-A006/16583466</t>
  </si>
  <si>
    <t>296-TL072HIDRCT-ND</t>
  </si>
  <si>
    <t>On Hand</t>
  </si>
  <si>
    <t>Order</t>
  </si>
  <si>
    <t>https://www.digikey.com/en/products/detail/yageo/CC0603JRX7R9BB153/5883678</t>
  </si>
  <si>
    <t>https://www.digikey.com/en/products/detail/yageo/CC0603JRX7R9BB333/5883689</t>
  </si>
  <si>
    <t>https://www.digikey.com/en/products/detail/samsung-electro-mechanics/CL31B335KAHVPNE/5961344</t>
  </si>
  <si>
    <t>https://www.digikey.com/en/products/detail/yageo/CC0603KRX7R8BB684/16797741</t>
  </si>
  <si>
    <t>https://www.digikey.com/en/products/detail/tdk-corporation/CGA4J3X7R1E155K125AB/3949992</t>
  </si>
  <si>
    <t>https://www.digikey.com/en/products/detail/onsemi/1N914/978749</t>
  </si>
  <si>
    <t>NEED 4</t>
  </si>
  <si>
    <t>NEED 10+</t>
  </si>
  <si>
    <t>NEED above</t>
  </si>
  <si>
    <t>330n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</si>
</sst>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(&quot;$&quot;* #,##0.00_);_(&quot;$&quot;* \(#,##0.00\);_(&quot;$&quot;* &quot;-&quot;??_);_(@_)"/>
  </numFmts>
  <fonts count="4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color theme="1"/>
      <name val="Calibri"/>
      <family val="2"/>
      <scheme val="minor"/>
    </font>
    <font>
      <sz val="9"/>
      <color rgb="FF222222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4" fontId="2" fillId="0" borderId="0" applyFont="0" applyFill="0" applyBorder="0" applyAlignment="0" applyProtection="0"/>
  </cellStyleXfs>
  <cellXfs count="3">
    <xf numFmtId="0" fontId="0" fillId="0" borderId="0" xfId="0"/>
    <xf numFmtId="0" fontId="3" fillId="0" borderId="0" xfId="0" applyFont="1"/>
    <xf numFmtId="44" fontId="0" fillId="0" borderId="0" xfId="1" applyFont="1"/>
  </cellXfs>
  <cellStyles count="2">
    <cellStyle name="Currency" xfId="1" builtinId="4"/>
    <cellStyle name="Normal" xfId="0" builtinId="0"/>
  </cellStyles>
  <dxfs count="20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onnections" Target="connections.xml"/><Relationship Id="rId5" Type="http://schemas.openxmlformats.org/officeDocument/2006/relationships/theme" Target="theme/theme1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5" xr16:uid="{0A116AA6-C908-4B22-8F5A-C393648D1061}" autoFormatId="16" applyNumberFormats="0" applyBorderFormats="0" applyFontFormats="0" applyPatternFormats="0" applyAlignmentFormats="0" applyWidthHeightFormats="0">
  <queryTableRefresh nextId="7">
    <queryTableFields count="6">
      <queryTableField id="1" name="Reference" tableColumnId="1"/>
      <queryTableField id="2" name="Value" tableColumnId="2"/>
      <queryTableField id="3" name="Datasheet" tableColumnId="3"/>
      <queryTableField id="4" name="Footprint" tableColumnId="4"/>
      <queryTableField id="5" name="Qty" tableColumnId="5"/>
      <queryTableField id="6" name="DNP" tableColumnId="6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3" xr16:uid="{A3ED36B2-AF92-4191-99E0-733BD0EB4501}" autoFormatId="16" applyNumberFormats="0" applyBorderFormats="0" applyFontFormats="0" applyPatternFormats="0" applyAlignmentFormats="0" applyWidthHeightFormats="0">
  <queryTableRefresh nextId="7">
    <queryTableFields count="6">
      <queryTableField id="1" name="Reference" tableColumnId="1"/>
      <queryTableField id="2" name="Value" tableColumnId="2"/>
      <queryTableField id="3" name="Datasheet" tableColumnId="3"/>
      <queryTableField id="4" name="Footprint" tableColumnId="4"/>
      <queryTableField id="5" name="Qty" tableColumnId="5"/>
      <queryTableField id="6" name="DNP" tableColumnId="6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867E388E-3242-40C2-9DA0-A4118401161A}" autoFormatId="16" applyNumberFormats="0" applyBorderFormats="0" applyFontFormats="0" applyPatternFormats="0" applyAlignmentFormats="0" applyWidthHeightFormats="0">
  <queryTableRefresh nextId="7">
    <queryTableFields count="6">
      <queryTableField id="1" name="Reference" tableColumnId="1"/>
      <queryTableField id="2" name="Value" tableColumnId="2"/>
      <queryTableField id="3" name="Datasheet" tableColumnId="3"/>
      <queryTableField id="4" name="Footprint" tableColumnId="4"/>
      <queryTableField id="5" name="Qty" tableColumnId="5"/>
      <queryTableField id="6" name="DNP" tableColumnId="6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BC4D7E7-EF60-4F8B-85E6-A6CB18F83747}" name="Main_Board_BOM" displayName="Main_Board_BOM" ref="A1:F34" tableType="queryTable" totalsRowShown="0">
  <autoFilter ref="A1:F34" xr:uid="{BBC4D7E7-EF60-4F8B-85E6-A6CB18F83747}"/>
  <tableColumns count="6">
    <tableColumn id="1" xr3:uid="{29351FD4-B7A1-4E09-8A5D-C83021349D70}" uniqueName="1" name="Reference" queryTableFieldId="1" dataDxfId="19"/>
    <tableColumn id="2" xr3:uid="{237A544C-A4B5-41DC-8368-6367FB83C5C8}" uniqueName="2" name="Value" queryTableFieldId="2" dataDxfId="18"/>
    <tableColumn id="3" xr3:uid="{6CCA8C28-8722-4CB6-A35F-201DDAE56DB6}" uniqueName="3" name="Datasheet" queryTableFieldId="3" dataDxfId="17"/>
    <tableColumn id="4" xr3:uid="{14ADFFD7-CF3F-4406-8435-F97CF206C529}" uniqueName="4" name="Footprint" queryTableFieldId="4" dataDxfId="16"/>
    <tableColumn id="5" xr3:uid="{AD8AFC00-A6CF-4A28-9EA7-7C9D5C13F510}" uniqueName="5" name="Qty" queryTableFieldId="5"/>
    <tableColumn id="6" xr3:uid="{90DE536C-1DBC-46D4-9FF3-3CF23EBD4283}" uniqueName="6" name="DNP" queryTableFieldId="6" dataDxfId="15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BA344D33-0524-44F2-8C4C-C433A8026D4C}" name="_4_Row_POT_BOM" displayName="_4_Row_POT_BOM" ref="A1:F4" tableType="queryTable" totalsRowShown="0">
  <autoFilter ref="A1:F4" xr:uid="{BA344D33-0524-44F2-8C4C-C433A8026D4C}"/>
  <tableColumns count="6">
    <tableColumn id="1" xr3:uid="{CEF18008-35F7-4BC6-ACFB-41F8FD7AB7F9}" uniqueName="1" name="Reference" queryTableFieldId="1" dataDxfId="14"/>
    <tableColumn id="2" xr3:uid="{415D67ED-A47A-460C-AF2A-1DB08FDB6A45}" uniqueName="2" name="Value" queryTableFieldId="2" dataDxfId="13"/>
    <tableColumn id="3" xr3:uid="{01BE4A00-4B65-40B5-AA74-25CF342C19F4}" uniqueName="3" name="Datasheet" queryTableFieldId="3" dataDxfId="12"/>
    <tableColumn id="4" xr3:uid="{070EE5EA-CFF9-4376-98A5-FCBA77CECDCA}" uniqueName="4" name="Footprint" queryTableFieldId="4" dataDxfId="11"/>
    <tableColumn id="5" xr3:uid="{04A63066-6312-4137-9B4F-8FF720EC69C3}" uniqueName="5" name="Qty" queryTableFieldId="5"/>
    <tableColumn id="6" xr3:uid="{E0546FC0-F272-4D13-87A2-D3F5300220FF}" uniqueName="6" name="DNP" queryTableFieldId="6" dataDxfId="10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C9C17922-C983-4A72-BAAD-4F8E9BAC3FF1}" name="_2_Band_BOM" displayName="_2_Band_BOM" ref="A1:F13" tableType="queryTable" totalsRowShown="0">
  <autoFilter ref="A1:F13" xr:uid="{C9C17922-C983-4A72-BAAD-4F8E9BAC3FF1}"/>
  <tableColumns count="6">
    <tableColumn id="1" xr3:uid="{DCE2FE32-A95E-43C6-9BAF-B80870D5B810}" uniqueName="1" name="Reference" queryTableFieldId="1" dataDxfId="9"/>
    <tableColumn id="2" xr3:uid="{7A004EFB-E331-4585-8232-7706DAF50BEE}" uniqueName="2" name="Value" queryTableFieldId="2" dataDxfId="8"/>
    <tableColumn id="3" xr3:uid="{BDF56323-A9B4-4699-828D-939BEB51F2D6}" uniqueName="3" name="Datasheet" queryTableFieldId="3" dataDxfId="7"/>
    <tableColumn id="4" xr3:uid="{91CB8296-4B5C-4274-A481-94EC510EE105}" uniqueName="4" name="Footprint" queryTableFieldId="4" dataDxfId="6"/>
    <tableColumn id="5" xr3:uid="{6AFB3073-C862-41CF-B55F-E3A9C6B56CF3}" uniqueName="5" name="Qty" queryTableFieldId="5"/>
    <tableColumn id="6" xr3:uid="{318BC3C1-0D12-4D64-9CF5-6C53EE4735EC}" uniqueName="6" name="DNP" queryTableFieldId="6" dataDxfId="5"/>
  </tableColumns>
  <tableStyleInfo name="TableStyleMedium7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FA077AC7-9D89-400E-A258-C085F870524A}" name="Table9" displayName="Table9" ref="A1:H49" totalsRowShown="0">
  <autoFilter ref="A1:H49" xr:uid="{FA077AC7-9D89-400E-A258-C085F870524A}"/>
  <sortState xmlns:xlrd2="http://schemas.microsoft.com/office/spreadsheetml/2017/richdata2" ref="A2:H49">
    <sortCondition ref="C1:C49"/>
  </sortState>
  <tableColumns count="8">
    <tableColumn id="1" xr3:uid="{D97B0016-375F-4CD0-BFC1-1BEA1E07E64A}" name="On Hand"/>
    <tableColumn id="2" xr3:uid="{847946AD-81FF-4125-BFCF-5F637E7AEF58}" name="Order"/>
    <tableColumn id="3" xr3:uid="{203420C2-A465-41F8-BA4E-47820F2B436E}" name="Reference" dataDxfId="4"/>
    <tableColumn id="4" xr3:uid="{238AE3C4-2105-41B7-8278-FB40627F5ED5}" name="Value" dataDxfId="3"/>
    <tableColumn id="5" xr3:uid="{FA6FB0D5-0586-4465-A63D-F07D7D398E0C}" name="Datasheet" dataDxfId="2"/>
    <tableColumn id="6" xr3:uid="{4726089B-D731-4F4B-A049-C5B5030024E4}" name="Footprint" dataDxfId="1"/>
    <tableColumn id="7" xr3:uid="{AF7447D3-B5D2-47E1-B915-E1AFC06B8242}" name="Qty"/>
    <tableColumn id="8" xr3:uid="{E78EDCD2-62C6-4F56-8B3C-EA9CE9DC5395}" name="DNP" dataDxfId="0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4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2983DF-AB70-4F51-BB4E-441A13804332}">
  <dimension ref="A1:F34"/>
  <sheetViews>
    <sheetView topLeftCell="A10" workbookViewId="0">
      <selection activeCell="B2" sqref="B2"/>
    </sheetView>
  </sheetViews>
  <sheetFormatPr defaultRowHeight="15" x14ac:dyDescent="0.25"/>
  <cols>
    <col min="1" max="1" width="26" bestFit="1" customWidth="1"/>
    <col min="2" max="2" width="23.140625" bestFit="1" customWidth="1"/>
    <col min="3" max="3" width="81.140625" bestFit="1" customWidth="1"/>
    <col min="4" max="4" width="77.5703125" bestFit="1" customWidth="1"/>
    <col min="5" max="5" width="6.42578125" bestFit="1" customWidth="1"/>
    <col min="6" max="6" width="7.140625" bestFit="1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 t="s">
        <v>7</v>
      </c>
      <c r="C2" t="s">
        <v>8</v>
      </c>
      <c r="D2" t="s">
        <v>9</v>
      </c>
      <c r="E2">
        <v>2</v>
      </c>
      <c r="F2" t="s">
        <v>10</v>
      </c>
    </row>
    <row r="3" spans="1:6" x14ac:dyDescent="0.25">
      <c r="A3" t="s">
        <v>11</v>
      </c>
      <c r="B3" t="s">
        <v>12</v>
      </c>
      <c r="C3" t="s">
        <v>13</v>
      </c>
      <c r="D3" t="s">
        <v>14</v>
      </c>
      <c r="E3">
        <v>1</v>
      </c>
      <c r="F3" t="s">
        <v>10</v>
      </c>
    </row>
    <row r="4" spans="1:6" x14ac:dyDescent="0.25">
      <c r="A4" t="s">
        <v>15</v>
      </c>
      <c r="B4" t="s">
        <v>16</v>
      </c>
      <c r="C4" t="s">
        <v>17</v>
      </c>
      <c r="D4" t="s">
        <v>14</v>
      </c>
      <c r="E4">
        <v>1</v>
      </c>
      <c r="F4" t="s">
        <v>10</v>
      </c>
    </row>
    <row r="5" spans="1:6" x14ac:dyDescent="0.25">
      <c r="A5" t="s">
        <v>18</v>
      </c>
      <c r="B5" t="s">
        <v>19</v>
      </c>
      <c r="C5" t="s">
        <v>117</v>
      </c>
      <c r="D5" t="s">
        <v>20</v>
      </c>
      <c r="E5">
        <v>5</v>
      </c>
      <c r="F5" t="s">
        <v>10</v>
      </c>
    </row>
    <row r="6" spans="1:6" x14ac:dyDescent="0.25">
      <c r="A6" t="s">
        <v>21</v>
      </c>
      <c r="B6" t="s">
        <v>22</v>
      </c>
      <c r="C6" t="s">
        <v>23</v>
      </c>
      <c r="D6" t="s">
        <v>14</v>
      </c>
      <c r="E6">
        <v>4</v>
      </c>
      <c r="F6" t="s">
        <v>10</v>
      </c>
    </row>
    <row r="7" spans="1:6" x14ac:dyDescent="0.25">
      <c r="A7" t="s">
        <v>24</v>
      </c>
      <c r="B7" t="s">
        <v>25</v>
      </c>
      <c r="C7" t="s">
        <v>26</v>
      </c>
      <c r="D7" t="s">
        <v>14</v>
      </c>
      <c r="E7">
        <v>2</v>
      </c>
      <c r="F7" t="s">
        <v>10</v>
      </c>
    </row>
    <row r="8" spans="1:6" x14ac:dyDescent="0.25">
      <c r="A8" t="s">
        <v>27</v>
      </c>
      <c r="B8" t="s">
        <v>28</v>
      </c>
      <c r="C8" t="s">
        <v>29</v>
      </c>
      <c r="D8" t="s">
        <v>30</v>
      </c>
      <c r="E8">
        <v>1</v>
      </c>
      <c r="F8" t="s">
        <v>10</v>
      </c>
    </row>
    <row r="9" spans="1:6" x14ac:dyDescent="0.25">
      <c r="A9" t="s">
        <v>31</v>
      </c>
      <c r="B9" t="s">
        <v>32</v>
      </c>
      <c r="C9" t="s">
        <v>33</v>
      </c>
      <c r="D9" t="s">
        <v>30</v>
      </c>
      <c r="E9">
        <v>2</v>
      </c>
      <c r="F9" t="s">
        <v>10</v>
      </c>
    </row>
    <row r="10" spans="1:6" x14ac:dyDescent="0.25">
      <c r="A10" t="s">
        <v>34</v>
      </c>
      <c r="B10" t="s">
        <v>35</v>
      </c>
      <c r="C10" t="s">
        <v>36</v>
      </c>
      <c r="D10" t="s">
        <v>30</v>
      </c>
      <c r="E10">
        <v>2</v>
      </c>
      <c r="F10" t="s">
        <v>10</v>
      </c>
    </row>
    <row r="11" spans="1:6" x14ac:dyDescent="0.25">
      <c r="A11" t="s">
        <v>37</v>
      </c>
      <c r="B11" t="s">
        <v>38</v>
      </c>
      <c r="C11" t="s">
        <v>39</v>
      </c>
      <c r="D11" t="s">
        <v>30</v>
      </c>
      <c r="E11">
        <v>2</v>
      </c>
      <c r="F11" t="s">
        <v>10</v>
      </c>
    </row>
    <row r="12" spans="1:6" x14ac:dyDescent="0.25">
      <c r="A12" t="s">
        <v>40</v>
      </c>
      <c r="B12" t="s">
        <v>41</v>
      </c>
      <c r="C12" t="s">
        <v>42</v>
      </c>
      <c r="D12" t="s">
        <v>20</v>
      </c>
      <c r="E12">
        <v>1</v>
      </c>
      <c r="F12" t="s">
        <v>10</v>
      </c>
    </row>
    <row r="13" spans="1:6" x14ac:dyDescent="0.25">
      <c r="A13" t="s">
        <v>43</v>
      </c>
      <c r="B13" t="s">
        <v>19</v>
      </c>
      <c r="C13" t="s">
        <v>44</v>
      </c>
      <c r="D13" t="s">
        <v>45</v>
      </c>
      <c r="E13">
        <v>1</v>
      </c>
      <c r="F13" t="s">
        <v>5</v>
      </c>
    </row>
    <row r="14" spans="1:6" x14ac:dyDescent="0.25">
      <c r="A14" t="s">
        <v>46</v>
      </c>
      <c r="B14" t="s">
        <v>47</v>
      </c>
      <c r="C14" t="s">
        <v>48</v>
      </c>
      <c r="D14" t="s">
        <v>49</v>
      </c>
      <c r="E14">
        <v>2</v>
      </c>
      <c r="F14" t="s">
        <v>10</v>
      </c>
    </row>
    <row r="15" spans="1:6" x14ac:dyDescent="0.25">
      <c r="A15" t="s">
        <v>50</v>
      </c>
      <c r="B15" t="s">
        <v>51</v>
      </c>
      <c r="C15" t="s">
        <v>52</v>
      </c>
      <c r="D15" t="s">
        <v>53</v>
      </c>
      <c r="E15">
        <v>1</v>
      </c>
      <c r="F15" t="s">
        <v>10</v>
      </c>
    </row>
    <row r="16" spans="1:6" x14ac:dyDescent="0.25">
      <c r="A16" t="s">
        <v>54</v>
      </c>
      <c r="B16" t="s">
        <v>55</v>
      </c>
      <c r="C16" t="s">
        <v>56</v>
      </c>
      <c r="D16" t="s">
        <v>57</v>
      </c>
      <c r="E16">
        <v>1</v>
      </c>
      <c r="F16" t="s">
        <v>10</v>
      </c>
    </row>
    <row r="17" spans="1:6" x14ac:dyDescent="0.25">
      <c r="A17" t="s">
        <v>58</v>
      </c>
      <c r="B17" t="s">
        <v>59</v>
      </c>
      <c r="C17" t="s">
        <v>60</v>
      </c>
      <c r="D17" t="s">
        <v>61</v>
      </c>
      <c r="E17">
        <v>1</v>
      </c>
      <c r="F17" t="s">
        <v>10</v>
      </c>
    </row>
    <row r="18" spans="1:6" x14ac:dyDescent="0.25">
      <c r="A18" t="s">
        <v>118</v>
      </c>
      <c r="B18" t="s">
        <v>119</v>
      </c>
      <c r="C18" t="s">
        <v>130</v>
      </c>
      <c r="D18" t="s">
        <v>63</v>
      </c>
      <c r="E18">
        <v>2</v>
      </c>
      <c r="F18" t="s">
        <v>10</v>
      </c>
    </row>
    <row r="19" spans="1:6" x14ac:dyDescent="0.25">
      <c r="A19" t="s">
        <v>120</v>
      </c>
      <c r="B19" t="s">
        <v>121</v>
      </c>
      <c r="C19" t="s">
        <v>64</v>
      </c>
      <c r="D19" t="s">
        <v>65</v>
      </c>
      <c r="E19">
        <v>2</v>
      </c>
      <c r="F19" t="s">
        <v>10</v>
      </c>
    </row>
    <row r="20" spans="1:6" x14ac:dyDescent="0.25">
      <c r="A20" t="s">
        <v>66</v>
      </c>
      <c r="B20" t="s">
        <v>122</v>
      </c>
      <c r="C20" t="s">
        <v>123</v>
      </c>
      <c r="D20" t="s">
        <v>67</v>
      </c>
      <c r="E20">
        <v>1</v>
      </c>
      <c r="F20" t="s">
        <v>10</v>
      </c>
    </row>
    <row r="21" spans="1:6" x14ac:dyDescent="0.25">
      <c r="A21" t="s">
        <v>68</v>
      </c>
      <c r="B21" t="s">
        <v>69</v>
      </c>
      <c r="C21" t="s">
        <v>56</v>
      </c>
      <c r="D21" t="s">
        <v>70</v>
      </c>
      <c r="E21">
        <v>1</v>
      </c>
      <c r="F21" t="s">
        <v>10</v>
      </c>
    </row>
    <row r="22" spans="1:6" x14ac:dyDescent="0.25">
      <c r="A22" t="s">
        <v>124</v>
      </c>
      <c r="B22" t="s">
        <v>125</v>
      </c>
      <c r="C22" t="s">
        <v>103</v>
      </c>
      <c r="D22" t="s">
        <v>104</v>
      </c>
      <c r="E22">
        <v>1</v>
      </c>
      <c r="F22" t="s">
        <v>10</v>
      </c>
    </row>
    <row r="23" spans="1:6" x14ac:dyDescent="0.25">
      <c r="A23" t="s">
        <v>71</v>
      </c>
      <c r="B23" t="s">
        <v>72</v>
      </c>
      <c r="C23" t="s">
        <v>73</v>
      </c>
      <c r="D23" t="s">
        <v>74</v>
      </c>
      <c r="E23">
        <v>2</v>
      </c>
      <c r="F23" t="s">
        <v>10</v>
      </c>
    </row>
    <row r="24" spans="1:6" x14ac:dyDescent="0.25">
      <c r="A24" t="s">
        <v>75</v>
      </c>
      <c r="B24" t="s">
        <v>126</v>
      </c>
      <c r="C24" t="s">
        <v>127</v>
      </c>
      <c r="D24" t="s">
        <v>128</v>
      </c>
      <c r="E24">
        <v>2</v>
      </c>
      <c r="F24" t="s">
        <v>10</v>
      </c>
    </row>
    <row r="25" spans="1:6" x14ac:dyDescent="0.25">
      <c r="A25" t="s">
        <v>129</v>
      </c>
      <c r="B25" t="s">
        <v>76</v>
      </c>
      <c r="C25" t="s">
        <v>56</v>
      </c>
      <c r="D25" t="s">
        <v>79</v>
      </c>
      <c r="E25">
        <v>4</v>
      </c>
      <c r="F25" t="s">
        <v>10</v>
      </c>
    </row>
    <row r="26" spans="1:6" x14ac:dyDescent="0.25">
      <c r="A26" t="s">
        <v>77</v>
      </c>
      <c r="B26" t="s">
        <v>78</v>
      </c>
      <c r="C26" t="s">
        <v>56</v>
      </c>
      <c r="D26" t="s">
        <v>79</v>
      </c>
      <c r="E26">
        <v>2</v>
      </c>
      <c r="F26" t="s">
        <v>10</v>
      </c>
    </row>
    <row r="27" spans="1:6" x14ac:dyDescent="0.25">
      <c r="A27" t="s">
        <v>80</v>
      </c>
      <c r="B27" t="s">
        <v>81</v>
      </c>
      <c r="C27" t="s">
        <v>56</v>
      </c>
      <c r="D27" t="s">
        <v>79</v>
      </c>
      <c r="E27">
        <v>1</v>
      </c>
      <c r="F27" t="s">
        <v>10</v>
      </c>
    </row>
    <row r="28" spans="1:6" x14ac:dyDescent="0.25">
      <c r="A28" t="s">
        <v>82</v>
      </c>
      <c r="B28" t="s">
        <v>83</v>
      </c>
      <c r="C28" t="s">
        <v>56</v>
      </c>
      <c r="D28" t="s">
        <v>79</v>
      </c>
      <c r="E28">
        <v>2</v>
      </c>
      <c r="F28" t="s">
        <v>10</v>
      </c>
    </row>
    <row r="29" spans="1:6" x14ac:dyDescent="0.25">
      <c r="A29" t="s">
        <v>84</v>
      </c>
      <c r="B29" t="s">
        <v>85</v>
      </c>
      <c r="C29" t="s">
        <v>56</v>
      </c>
      <c r="D29" t="s">
        <v>79</v>
      </c>
      <c r="E29">
        <v>7</v>
      </c>
      <c r="F29" t="s">
        <v>10</v>
      </c>
    </row>
    <row r="30" spans="1:6" x14ac:dyDescent="0.25">
      <c r="A30" t="s">
        <v>86</v>
      </c>
      <c r="B30" t="s">
        <v>87</v>
      </c>
      <c r="C30" t="s">
        <v>56</v>
      </c>
      <c r="D30" t="s">
        <v>79</v>
      </c>
      <c r="E30">
        <v>1</v>
      </c>
      <c r="F30" t="s">
        <v>10</v>
      </c>
    </row>
    <row r="31" spans="1:6" x14ac:dyDescent="0.25">
      <c r="A31" t="s">
        <v>88</v>
      </c>
      <c r="B31" t="s">
        <v>89</v>
      </c>
      <c r="C31" t="s">
        <v>56</v>
      </c>
      <c r="D31" t="s">
        <v>79</v>
      </c>
      <c r="E31">
        <v>6</v>
      </c>
      <c r="F31" t="s">
        <v>10</v>
      </c>
    </row>
    <row r="32" spans="1:6" x14ac:dyDescent="0.25">
      <c r="A32" t="s">
        <v>90</v>
      </c>
      <c r="B32" t="s">
        <v>91</v>
      </c>
      <c r="C32" t="s">
        <v>56</v>
      </c>
      <c r="D32" t="s">
        <v>79</v>
      </c>
      <c r="E32">
        <v>1</v>
      </c>
      <c r="F32" t="s">
        <v>10</v>
      </c>
    </row>
    <row r="33" spans="1:6" x14ac:dyDescent="0.25">
      <c r="A33" t="s">
        <v>92</v>
      </c>
      <c r="B33" t="s">
        <v>93</v>
      </c>
      <c r="C33" t="s">
        <v>56</v>
      </c>
      <c r="D33" t="s">
        <v>94</v>
      </c>
      <c r="E33">
        <v>1</v>
      </c>
      <c r="F33" t="s">
        <v>10</v>
      </c>
    </row>
    <row r="34" spans="1:6" x14ac:dyDescent="0.25">
      <c r="A34" t="s">
        <v>95</v>
      </c>
      <c r="B34" t="s">
        <v>96</v>
      </c>
      <c r="C34" t="s">
        <v>97</v>
      </c>
      <c r="D34" t="s">
        <v>98</v>
      </c>
      <c r="E34">
        <v>2</v>
      </c>
      <c r="F34" t="s">
        <v>10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7097BB-AADC-4C2C-9E16-ED9ECBD33753}">
  <dimension ref="A1:F4"/>
  <sheetViews>
    <sheetView workbookViewId="0">
      <selection activeCell="B18" sqref="B18"/>
    </sheetView>
  </sheetViews>
  <sheetFormatPr defaultRowHeight="15" x14ac:dyDescent="0.25"/>
  <cols>
    <col min="1" max="1" width="16.5703125" bestFit="1" customWidth="1"/>
    <col min="2" max="2" width="22.5703125" bestFit="1" customWidth="1"/>
    <col min="3" max="3" width="81.140625" bestFit="1" customWidth="1"/>
    <col min="4" max="4" width="77.5703125" bestFit="1" customWidth="1"/>
    <col min="5" max="5" width="6.42578125" bestFit="1" customWidth="1"/>
    <col min="6" max="6" width="7.140625" bestFit="1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99</v>
      </c>
      <c r="B2" t="s">
        <v>131</v>
      </c>
      <c r="C2" t="s">
        <v>132</v>
      </c>
      <c r="D2" t="s">
        <v>100</v>
      </c>
      <c r="E2">
        <v>2</v>
      </c>
      <c r="F2" t="s">
        <v>10</v>
      </c>
    </row>
    <row r="3" spans="1:6" x14ac:dyDescent="0.25">
      <c r="A3" t="s">
        <v>133</v>
      </c>
      <c r="B3" t="s">
        <v>134</v>
      </c>
      <c r="C3" t="s">
        <v>135</v>
      </c>
      <c r="D3" t="s">
        <v>101</v>
      </c>
      <c r="E3">
        <v>4</v>
      </c>
      <c r="F3" t="s">
        <v>10</v>
      </c>
    </row>
    <row r="4" spans="1:6" x14ac:dyDescent="0.25">
      <c r="A4" t="s">
        <v>102</v>
      </c>
      <c r="B4" t="s">
        <v>76</v>
      </c>
      <c r="C4" t="s">
        <v>103</v>
      </c>
      <c r="D4" t="s">
        <v>104</v>
      </c>
      <c r="E4">
        <v>4</v>
      </c>
      <c r="F4" t="s">
        <v>10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72618A-2E4B-41B8-B707-AAB105F95A18}">
  <dimension ref="A1:F13"/>
  <sheetViews>
    <sheetView workbookViewId="0">
      <selection activeCell="C17" sqref="C17"/>
    </sheetView>
  </sheetViews>
  <sheetFormatPr defaultRowHeight="15" x14ac:dyDescent="0.25"/>
  <cols>
    <col min="1" max="1" width="12.42578125" bestFit="1" customWidth="1"/>
    <col min="2" max="2" width="26" bestFit="1" customWidth="1"/>
    <col min="3" max="3" width="81.140625" bestFit="1" customWidth="1"/>
    <col min="4" max="4" width="62" bestFit="1" customWidth="1"/>
    <col min="5" max="5" width="6.42578125" bestFit="1" customWidth="1"/>
    <col min="6" max="6" width="7.140625" bestFit="1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105</v>
      </c>
      <c r="B2" t="s">
        <v>136</v>
      </c>
      <c r="C2" t="s">
        <v>10</v>
      </c>
      <c r="D2" t="s">
        <v>14</v>
      </c>
      <c r="E2">
        <v>1</v>
      </c>
      <c r="F2" t="s">
        <v>10</v>
      </c>
    </row>
    <row r="3" spans="1:6" x14ac:dyDescent="0.25">
      <c r="A3" t="s">
        <v>11</v>
      </c>
      <c r="B3" t="s">
        <v>137</v>
      </c>
      <c r="C3" t="s">
        <v>10</v>
      </c>
      <c r="D3" t="s">
        <v>14</v>
      </c>
      <c r="E3">
        <v>1</v>
      </c>
      <c r="F3" t="s">
        <v>10</v>
      </c>
    </row>
    <row r="4" spans="1:6" x14ac:dyDescent="0.25">
      <c r="A4" t="s">
        <v>15</v>
      </c>
      <c r="B4" t="s">
        <v>138</v>
      </c>
      <c r="C4" t="s">
        <v>10</v>
      </c>
      <c r="D4" t="s">
        <v>14</v>
      </c>
      <c r="E4">
        <v>1</v>
      </c>
      <c r="F4" t="s">
        <v>10</v>
      </c>
    </row>
    <row r="5" spans="1:6" x14ac:dyDescent="0.25">
      <c r="A5" t="s">
        <v>107</v>
      </c>
      <c r="B5" t="s">
        <v>139</v>
      </c>
      <c r="C5" t="s">
        <v>10</v>
      </c>
      <c r="D5" t="s">
        <v>14</v>
      </c>
      <c r="E5">
        <v>1</v>
      </c>
      <c r="F5" t="s">
        <v>10</v>
      </c>
    </row>
    <row r="6" spans="1:6" x14ac:dyDescent="0.25">
      <c r="A6" t="s">
        <v>109</v>
      </c>
      <c r="B6" t="s">
        <v>19</v>
      </c>
      <c r="C6" t="s">
        <v>117</v>
      </c>
      <c r="D6" t="s">
        <v>20</v>
      </c>
      <c r="E6">
        <v>2</v>
      </c>
      <c r="F6" t="s">
        <v>10</v>
      </c>
    </row>
    <row r="7" spans="1:6" x14ac:dyDescent="0.25">
      <c r="A7" t="s">
        <v>110</v>
      </c>
      <c r="B7" t="s">
        <v>22</v>
      </c>
      <c r="C7" t="s">
        <v>23</v>
      </c>
      <c r="D7" t="s">
        <v>14</v>
      </c>
      <c r="E7">
        <v>2</v>
      </c>
      <c r="F7" t="s">
        <v>10</v>
      </c>
    </row>
    <row r="8" spans="1:6" x14ac:dyDescent="0.25">
      <c r="A8" t="s">
        <v>140</v>
      </c>
      <c r="B8" t="s">
        <v>108</v>
      </c>
      <c r="C8" t="s">
        <v>10</v>
      </c>
      <c r="D8" t="s">
        <v>141</v>
      </c>
      <c r="E8">
        <v>2</v>
      </c>
      <c r="F8" t="s">
        <v>5</v>
      </c>
    </row>
    <row r="9" spans="1:6" x14ac:dyDescent="0.25">
      <c r="A9" t="s">
        <v>142</v>
      </c>
      <c r="B9" t="s">
        <v>106</v>
      </c>
      <c r="C9" t="s">
        <v>10</v>
      </c>
      <c r="D9" t="s">
        <v>143</v>
      </c>
      <c r="E9">
        <v>2</v>
      </c>
      <c r="F9" t="s">
        <v>5</v>
      </c>
    </row>
    <row r="10" spans="1:6" x14ac:dyDescent="0.25">
      <c r="A10" t="s">
        <v>62</v>
      </c>
      <c r="B10" t="s">
        <v>144</v>
      </c>
      <c r="C10" t="s">
        <v>145</v>
      </c>
      <c r="D10" t="s">
        <v>111</v>
      </c>
      <c r="E10">
        <v>1</v>
      </c>
      <c r="F10" t="s">
        <v>10</v>
      </c>
    </row>
    <row r="11" spans="1:6" x14ac:dyDescent="0.25">
      <c r="A11" t="s">
        <v>112</v>
      </c>
      <c r="B11" t="s">
        <v>113</v>
      </c>
      <c r="C11" t="s">
        <v>56</v>
      </c>
      <c r="D11" t="s">
        <v>79</v>
      </c>
      <c r="E11">
        <v>2</v>
      </c>
      <c r="F11" t="s">
        <v>10</v>
      </c>
    </row>
    <row r="12" spans="1:6" x14ac:dyDescent="0.25">
      <c r="A12" t="s">
        <v>114</v>
      </c>
      <c r="B12" t="s">
        <v>115</v>
      </c>
      <c r="C12" t="s">
        <v>56</v>
      </c>
      <c r="D12" t="s">
        <v>79</v>
      </c>
      <c r="E12">
        <v>2</v>
      </c>
      <c r="F12" t="s">
        <v>10</v>
      </c>
    </row>
    <row r="13" spans="1:6" x14ac:dyDescent="0.25">
      <c r="A13" t="s">
        <v>116</v>
      </c>
      <c r="B13" t="s">
        <v>146</v>
      </c>
      <c r="C13" t="s">
        <v>97</v>
      </c>
      <c r="D13" t="s">
        <v>98</v>
      </c>
      <c r="E13">
        <v>1</v>
      </c>
      <c r="F13" t="s">
        <v>10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4AAD50-1887-4242-B494-38133E085B4F}">
  <dimension ref="A1:H59"/>
  <sheetViews>
    <sheetView tabSelected="1" topLeftCell="A43" workbookViewId="0">
      <selection activeCell="B60" sqref="B60"/>
    </sheetView>
  </sheetViews>
  <sheetFormatPr defaultRowHeight="15" x14ac:dyDescent="0.25"/>
  <cols>
    <col min="1" max="1" width="10.7109375" customWidth="1"/>
    <col min="2" max="2" width="10.28515625" customWidth="1"/>
    <col min="3" max="4" width="26" bestFit="1" customWidth="1"/>
    <col min="5" max="5" width="111.5703125" customWidth="1"/>
    <col min="6" max="6" width="77.5703125" bestFit="1" customWidth="1"/>
    <col min="7" max="7" width="6.42578125" bestFit="1" customWidth="1"/>
    <col min="8" max="8" width="7.140625" bestFit="1" customWidth="1"/>
  </cols>
  <sheetData>
    <row r="1" spans="1:8" x14ac:dyDescent="0.25">
      <c r="A1" t="s">
        <v>147</v>
      </c>
      <c r="B1" t="s">
        <v>148</v>
      </c>
      <c r="C1" t="s">
        <v>0</v>
      </c>
      <c r="D1" t="s">
        <v>1</v>
      </c>
      <c r="E1" t="s">
        <v>2</v>
      </c>
      <c r="F1" t="s">
        <v>3</v>
      </c>
      <c r="G1" t="s">
        <v>4</v>
      </c>
      <c r="H1" t="s">
        <v>5</v>
      </c>
    </row>
    <row r="2" spans="1:8" x14ac:dyDescent="0.25">
      <c r="B2">
        <v>10</v>
      </c>
      <c r="C2" t="s">
        <v>105</v>
      </c>
      <c r="D2" t="s">
        <v>136</v>
      </c>
      <c r="E2" t="s">
        <v>150</v>
      </c>
      <c r="F2" t="s">
        <v>14</v>
      </c>
      <c r="G2">
        <v>1</v>
      </c>
      <c r="H2" t="s">
        <v>10</v>
      </c>
    </row>
    <row r="3" spans="1:8" x14ac:dyDescent="0.25">
      <c r="B3">
        <v>10</v>
      </c>
      <c r="C3" t="s">
        <v>6</v>
      </c>
      <c r="D3" t="s">
        <v>7</v>
      </c>
      <c r="E3" t="s">
        <v>8</v>
      </c>
      <c r="F3" t="s">
        <v>9</v>
      </c>
      <c r="G3">
        <v>2</v>
      </c>
      <c r="H3" t="s">
        <v>10</v>
      </c>
    </row>
    <row r="4" spans="1:8" x14ac:dyDescent="0.25">
      <c r="B4">
        <v>10</v>
      </c>
      <c r="C4" t="s">
        <v>27</v>
      </c>
      <c r="D4" t="s">
        <v>28</v>
      </c>
      <c r="E4" t="s">
        <v>29</v>
      </c>
      <c r="F4" t="s">
        <v>30</v>
      </c>
      <c r="G4">
        <v>1</v>
      </c>
      <c r="H4" t="s">
        <v>10</v>
      </c>
    </row>
    <row r="5" spans="1:8" x14ac:dyDescent="0.25">
      <c r="B5">
        <v>10</v>
      </c>
      <c r="C5" t="s">
        <v>142</v>
      </c>
      <c r="D5" t="s">
        <v>106</v>
      </c>
      <c r="E5" t="s">
        <v>151</v>
      </c>
      <c r="F5" t="s">
        <v>143</v>
      </c>
      <c r="G5">
        <v>2</v>
      </c>
      <c r="H5" t="s">
        <v>5</v>
      </c>
    </row>
    <row r="6" spans="1:8" x14ac:dyDescent="0.25">
      <c r="B6">
        <v>10</v>
      </c>
      <c r="C6" t="s">
        <v>31</v>
      </c>
      <c r="D6" t="s">
        <v>32</v>
      </c>
      <c r="E6" t="s">
        <v>33</v>
      </c>
      <c r="F6" t="s">
        <v>30</v>
      </c>
      <c r="G6">
        <v>2</v>
      </c>
      <c r="H6" t="s">
        <v>10</v>
      </c>
    </row>
    <row r="7" spans="1:8" x14ac:dyDescent="0.25">
      <c r="B7">
        <v>10</v>
      </c>
      <c r="C7" t="s">
        <v>34</v>
      </c>
      <c r="D7" t="s">
        <v>35</v>
      </c>
      <c r="E7" t="s">
        <v>36</v>
      </c>
      <c r="F7" t="s">
        <v>30</v>
      </c>
      <c r="G7">
        <v>2</v>
      </c>
      <c r="H7" t="s">
        <v>10</v>
      </c>
    </row>
    <row r="8" spans="1:8" x14ac:dyDescent="0.25">
      <c r="B8">
        <v>10</v>
      </c>
      <c r="C8" t="s">
        <v>37</v>
      </c>
      <c r="D8" t="s">
        <v>38</v>
      </c>
      <c r="E8" t="s">
        <v>39</v>
      </c>
      <c r="F8" t="s">
        <v>30</v>
      </c>
      <c r="G8">
        <v>2</v>
      </c>
      <c r="H8" t="s">
        <v>10</v>
      </c>
    </row>
    <row r="9" spans="1:8" x14ac:dyDescent="0.25">
      <c r="A9">
        <v>8</v>
      </c>
      <c r="B9">
        <v>0</v>
      </c>
      <c r="C9" t="s">
        <v>40</v>
      </c>
      <c r="D9" t="s">
        <v>41</v>
      </c>
      <c r="E9" t="s">
        <v>42</v>
      </c>
      <c r="F9" t="s">
        <v>20</v>
      </c>
      <c r="G9">
        <v>1</v>
      </c>
      <c r="H9" t="s">
        <v>10</v>
      </c>
    </row>
    <row r="10" spans="1:8" x14ac:dyDescent="0.25">
      <c r="B10">
        <v>10</v>
      </c>
      <c r="C10" t="s">
        <v>11</v>
      </c>
      <c r="D10" t="s">
        <v>12</v>
      </c>
      <c r="E10" t="s">
        <v>13</v>
      </c>
      <c r="F10" t="s">
        <v>14</v>
      </c>
      <c r="G10">
        <v>1</v>
      </c>
      <c r="H10" t="s">
        <v>10</v>
      </c>
    </row>
    <row r="11" spans="1:8" x14ac:dyDescent="0.25">
      <c r="B11">
        <v>10</v>
      </c>
      <c r="C11" t="s">
        <v>11</v>
      </c>
      <c r="D11" t="s">
        <v>137</v>
      </c>
      <c r="E11" t="s">
        <v>152</v>
      </c>
      <c r="F11" t="s">
        <v>14</v>
      </c>
      <c r="G11">
        <v>1</v>
      </c>
      <c r="H11" t="s">
        <v>10</v>
      </c>
    </row>
    <row r="12" spans="1:8" x14ac:dyDescent="0.25">
      <c r="A12">
        <v>0</v>
      </c>
      <c r="B12">
        <v>0</v>
      </c>
      <c r="C12" t="s">
        <v>43</v>
      </c>
      <c r="D12" t="s">
        <v>19</v>
      </c>
      <c r="E12" t="s">
        <v>44</v>
      </c>
      <c r="F12" t="s">
        <v>45</v>
      </c>
      <c r="G12">
        <v>1</v>
      </c>
      <c r="H12" t="s">
        <v>5</v>
      </c>
    </row>
    <row r="13" spans="1:8" x14ac:dyDescent="0.25">
      <c r="B13">
        <v>10</v>
      </c>
      <c r="C13" t="s">
        <v>15</v>
      </c>
      <c r="D13" t="s">
        <v>16</v>
      </c>
      <c r="E13" t="s">
        <v>17</v>
      </c>
      <c r="F13" t="s">
        <v>14</v>
      </c>
      <c r="G13">
        <v>1</v>
      </c>
      <c r="H13" t="s">
        <v>10</v>
      </c>
    </row>
    <row r="14" spans="1:8" x14ac:dyDescent="0.25">
      <c r="B14">
        <v>10</v>
      </c>
      <c r="C14" t="s">
        <v>15</v>
      </c>
      <c r="D14" t="s">
        <v>138</v>
      </c>
      <c r="E14" t="s">
        <v>149</v>
      </c>
      <c r="F14" t="s">
        <v>14</v>
      </c>
      <c r="G14">
        <v>1</v>
      </c>
      <c r="H14" t="s">
        <v>10</v>
      </c>
    </row>
    <row r="15" spans="1:8" x14ac:dyDescent="0.25">
      <c r="B15">
        <v>10</v>
      </c>
      <c r="C15" t="s">
        <v>107</v>
      </c>
      <c r="D15" t="s">
        <v>158</v>
      </c>
      <c r="E15" t="s">
        <v>151</v>
      </c>
      <c r="F15" t="s">
        <v>14</v>
      </c>
      <c r="G15">
        <v>1</v>
      </c>
      <c r="H15" t="s">
        <v>10</v>
      </c>
    </row>
    <row r="16" spans="1:8" x14ac:dyDescent="0.25">
      <c r="A16">
        <v>8</v>
      </c>
      <c r="B16">
        <v>10</v>
      </c>
      <c r="C16" t="s">
        <v>18</v>
      </c>
      <c r="D16" t="s">
        <v>19</v>
      </c>
      <c r="E16" t="s">
        <v>117</v>
      </c>
      <c r="F16" t="s">
        <v>20</v>
      </c>
      <c r="G16">
        <v>5</v>
      </c>
      <c r="H16" t="s">
        <v>10</v>
      </c>
    </row>
    <row r="17" spans="1:8" x14ac:dyDescent="0.25">
      <c r="B17">
        <v>0</v>
      </c>
      <c r="C17" t="s">
        <v>109</v>
      </c>
      <c r="D17" t="s">
        <v>19</v>
      </c>
      <c r="E17" t="s">
        <v>117</v>
      </c>
      <c r="F17" t="s">
        <v>20</v>
      </c>
      <c r="G17">
        <v>2</v>
      </c>
      <c r="H17" t="s">
        <v>10</v>
      </c>
    </row>
    <row r="18" spans="1:8" x14ac:dyDescent="0.25">
      <c r="B18">
        <v>20</v>
      </c>
      <c r="C18" t="s">
        <v>21</v>
      </c>
      <c r="D18" t="s">
        <v>22</v>
      </c>
      <c r="E18" t="s">
        <v>23</v>
      </c>
      <c r="F18" t="s">
        <v>14</v>
      </c>
      <c r="G18">
        <v>4</v>
      </c>
      <c r="H18" t="s">
        <v>10</v>
      </c>
    </row>
    <row r="19" spans="1:8" x14ac:dyDescent="0.25">
      <c r="B19">
        <v>0</v>
      </c>
      <c r="C19" t="s">
        <v>110</v>
      </c>
      <c r="D19" t="s">
        <v>22</v>
      </c>
      <c r="E19" t="s">
        <v>23</v>
      </c>
      <c r="F19" t="s">
        <v>14</v>
      </c>
      <c r="G19">
        <v>2</v>
      </c>
      <c r="H19" t="s">
        <v>10</v>
      </c>
    </row>
    <row r="20" spans="1:8" x14ac:dyDescent="0.25">
      <c r="B20">
        <v>20</v>
      </c>
      <c r="C20" t="s">
        <v>24</v>
      </c>
      <c r="D20" t="s">
        <v>25</v>
      </c>
      <c r="E20" t="s">
        <v>26</v>
      </c>
      <c r="F20" t="s">
        <v>14</v>
      </c>
      <c r="G20">
        <v>2</v>
      </c>
      <c r="H20" t="s">
        <v>10</v>
      </c>
    </row>
    <row r="21" spans="1:8" x14ac:dyDescent="0.25">
      <c r="B21">
        <v>10</v>
      </c>
      <c r="C21" t="s">
        <v>140</v>
      </c>
      <c r="D21" t="s">
        <v>108</v>
      </c>
      <c r="E21" t="s">
        <v>153</v>
      </c>
      <c r="F21" t="s">
        <v>141</v>
      </c>
      <c r="G21">
        <v>2</v>
      </c>
      <c r="H21" t="s">
        <v>5</v>
      </c>
    </row>
    <row r="22" spans="1:8" x14ac:dyDescent="0.25">
      <c r="B22">
        <v>10</v>
      </c>
      <c r="C22" t="s">
        <v>46</v>
      </c>
      <c r="D22" t="s">
        <v>47</v>
      </c>
      <c r="E22" t="s">
        <v>154</v>
      </c>
      <c r="F22" t="s">
        <v>49</v>
      </c>
      <c r="G22">
        <v>2</v>
      </c>
      <c r="H22" t="s">
        <v>10</v>
      </c>
    </row>
    <row r="23" spans="1:8" x14ac:dyDescent="0.25">
      <c r="B23">
        <v>10</v>
      </c>
      <c r="C23" t="s">
        <v>50</v>
      </c>
      <c r="D23" t="s">
        <v>51</v>
      </c>
      <c r="E23" t="s">
        <v>52</v>
      </c>
      <c r="F23" t="s">
        <v>53</v>
      </c>
      <c r="G23">
        <v>1</v>
      </c>
      <c r="H23" t="s">
        <v>10</v>
      </c>
    </row>
    <row r="24" spans="1:8" x14ac:dyDescent="0.25">
      <c r="A24">
        <v>10</v>
      </c>
      <c r="B24">
        <v>0</v>
      </c>
      <c r="C24" t="s">
        <v>54</v>
      </c>
      <c r="D24" t="s">
        <v>55</v>
      </c>
      <c r="E24" t="s">
        <v>56</v>
      </c>
      <c r="F24" t="s">
        <v>57</v>
      </c>
      <c r="G24">
        <v>1</v>
      </c>
      <c r="H24" t="s">
        <v>10</v>
      </c>
    </row>
    <row r="25" spans="1:8" x14ac:dyDescent="0.25">
      <c r="A25">
        <v>10</v>
      </c>
      <c r="B25">
        <v>0</v>
      </c>
      <c r="C25" t="s">
        <v>58</v>
      </c>
      <c r="D25" t="s">
        <v>59</v>
      </c>
      <c r="E25" t="s">
        <v>60</v>
      </c>
      <c r="F25" t="s">
        <v>61</v>
      </c>
      <c r="G25">
        <v>1</v>
      </c>
      <c r="H25" t="s">
        <v>10</v>
      </c>
    </row>
    <row r="26" spans="1:8" x14ac:dyDescent="0.25">
      <c r="B26">
        <v>10</v>
      </c>
      <c r="C26" t="s">
        <v>62</v>
      </c>
      <c r="D26" t="s">
        <v>144</v>
      </c>
      <c r="E26" t="s">
        <v>145</v>
      </c>
      <c r="F26" t="s">
        <v>111</v>
      </c>
      <c r="G26">
        <v>1</v>
      </c>
      <c r="H26" t="s">
        <v>10</v>
      </c>
    </row>
    <row r="27" spans="1:8" x14ac:dyDescent="0.25">
      <c r="B27">
        <v>10</v>
      </c>
      <c r="C27" t="s">
        <v>99</v>
      </c>
      <c r="D27" t="s">
        <v>131</v>
      </c>
      <c r="E27" t="s">
        <v>132</v>
      </c>
      <c r="F27" t="s">
        <v>100</v>
      </c>
      <c r="G27">
        <v>2</v>
      </c>
      <c r="H27" t="s">
        <v>10</v>
      </c>
    </row>
    <row r="28" spans="1:8" x14ac:dyDescent="0.25">
      <c r="B28">
        <v>10</v>
      </c>
      <c r="C28" t="s">
        <v>118</v>
      </c>
      <c r="D28" t="s">
        <v>119</v>
      </c>
      <c r="E28" t="s">
        <v>130</v>
      </c>
      <c r="F28" t="s">
        <v>63</v>
      </c>
      <c r="G28">
        <v>2</v>
      </c>
      <c r="H28" t="s">
        <v>10</v>
      </c>
    </row>
    <row r="29" spans="1:8" x14ac:dyDescent="0.25">
      <c r="A29" t="s">
        <v>155</v>
      </c>
      <c r="B29">
        <v>0</v>
      </c>
      <c r="C29" t="s">
        <v>120</v>
      </c>
      <c r="D29" t="s">
        <v>121</v>
      </c>
      <c r="E29" t="s">
        <v>64</v>
      </c>
      <c r="F29" t="s">
        <v>65</v>
      </c>
      <c r="G29">
        <v>2</v>
      </c>
      <c r="H29" t="s">
        <v>10</v>
      </c>
    </row>
    <row r="30" spans="1:8" x14ac:dyDescent="0.25">
      <c r="B30">
        <v>10</v>
      </c>
      <c r="C30" t="s">
        <v>133</v>
      </c>
      <c r="D30" t="s">
        <v>134</v>
      </c>
      <c r="E30" t="s">
        <v>135</v>
      </c>
      <c r="F30" t="s">
        <v>101</v>
      </c>
      <c r="G30">
        <v>4</v>
      </c>
      <c r="H30" t="s">
        <v>10</v>
      </c>
    </row>
    <row r="31" spans="1:8" x14ac:dyDescent="0.25">
      <c r="A31">
        <v>1</v>
      </c>
      <c r="B31">
        <v>0</v>
      </c>
      <c r="C31" t="s">
        <v>66</v>
      </c>
      <c r="D31" t="s">
        <v>122</v>
      </c>
      <c r="E31" t="s">
        <v>123</v>
      </c>
      <c r="F31" t="s">
        <v>67</v>
      </c>
      <c r="G31">
        <v>1</v>
      </c>
      <c r="H31" t="s">
        <v>10</v>
      </c>
    </row>
    <row r="32" spans="1:8" x14ac:dyDescent="0.25">
      <c r="A32">
        <v>100</v>
      </c>
      <c r="B32">
        <v>0</v>
      </c>
      <c r="C32" t="s">
        <v>68</v>
      </c>
      <c r="D32" t="s">
        <v>69</v>
      </c>
      <c r="E32" t="s">
        <v>56</v>
      </c>
      <c r="F32" t="s">
        <v>70</v>
      </c>
      <c r="G32">
        <v>1</v>
      </c>
      <c r="H32" t="s">
        <v>10</v>
      </c>
    </row>
    <row r="33" spans="1:8" x14ac:dyDescent="0.25">
      <c r="A33" t="s">
        <v>156</v>
      </c>
      <c r="B33">
        <v>0</v>
      </c>
      <c r="C33" t="s">
        <v>124</v>
      </c>
      <c r="D33" t="s">
        <v>125</v>
      </c>
      <c r="E33" t="s">
        <v>103</v>
      </c>
      <c r="F33" t="s">
        <v>104</v>
      </c>
      <c r="G33">
        <v>1</v>
      </c>
      <c r="H33" t="s">
        <v>10</v>
      </c>
    </row>
    <row r="34" spans="1:8" x14ac:dyDescent="0.25">
      <c r="B34">
        <v>10</v>
      </c>
      <c r="C34" t="s">
        <v>71</v>
      </c>
      <c r="D34" t="s">
        <v>72</v>
      </c>
      <c r="E34" t="s">
        <v>73</v>
      </c>
      <c r="F34" t="s">
        <v>74</v>
      </c>
      <c r="G34">
        <v>2</v>
      </c>
      <c r="H34" t="s">
        <v>10</v>
      </c>
    </row>
    <row r="35" spans="1:8" x14ac:dyDescent="0.25">
      <c r="A35">
        <v>20</v>
      </c>
      <c r="B35">
        <v>0</v>
      </c>
      <c r="C35" t="s">
        <v>75</v>
      </c>
      <c r="D35" t="s">
        <v>126</v>
      </c>
      <c r="E35" t="s">
        <v>127</v>
      </c>
      <c r="F35" t="s">
        <v>128</v>
      </c>
      <c r="G35">
        <v>2</v>
      </c>
      <c r="H35" t="s">
        <v>10</v>
      </c>
    </row>
    <row r="36" spans="1:8" x14ac:dyDescent="0.25">
      <c r="A36">
        <v>50</v>
      </c>
      <c r="B36">
        <v>0</v>
      </c>
      <c r="C36" t="s">
        <v>112</v>
      </c>
      <c r="D36" t="s">
        <v>113</v>
      </c>
      <c r="E36" t="s">
        <v>56</v>
      </c>
      <c r="F36" t="s">
        <v>79</v>
      </c>
      <c r="G36">
        <v>2</v>
      </c>
      <c r="H36" t="s">
        <v>10</v>
      </c>
    </row>
    <row r="37" spans="1:8" x14ac:dyDescent="0.25">
      <c r="A37">
        <v>50</v>
      </c>
      <c r="B37">
        <v>0</v>
      </c>
      <c r="C37" t="s">
        <v>129</v>
      </c>
      <c r="D37" t="s">
        <v>76</v>
      </c>
      <c r="E37" t="s">
        <v>56</v>
      </c>
      <c r="F37" t="s">
        <v>79</v>
      </c>
      <c r="G37">
        <v>4</v>
      </c>
      <c r="H37" t="s">
        <v>10</v>
      </c>
    </row>
    <row r="38" spans="1:8" x14ac:dyDescent="0.25">
      <c r="A38">
        <v>50</v>
      </c>
      <c r="B38">
        <v>0</v>
      </c>
      <c r="C38" t="s">
        <v>86</v>
      </c>
      <c r="D38" t="s">
        <v>87</v>
      </c>
      <c r="E38" t="s">
        <v>56</v>
      </c>
      <c r="F38" t="s">
        <v>79</v>
      </c>
      <c r="G38">
        <v>1</v>
      </c>
      <c r="H38" t="s">
        <v>10</v>
      </c>
    </row>
    <row r="39" spans="1:8" x14ac:dyDescent="0.25">
      <c r="A39">
        <v>50</v>
      </c>
      <c r="B39">
        <v>0</v>
      </c>
      <c r="C39" t="s">
        <v>88</v>
      </c>
      <c r="D39" t="s">
        <v>89</v>
      </c>
      <c r="E39" t="s">
        <v>56</v>
      </c>
      <c r="F39" t="s">
        <v>79</v>
      </c>
      <c r="G39">
        <v>6</v>
      </c>
      <c r="H39" t="s">
        <v>10</v>
      </c>
    </row>
    <row r="40" spans="1:8" x14ac:dyDescent="0.25">
      <c r="A40">
        <v>50</v>
      </c>
      <c r="B40">
        <v>0</v>
      </c>
      <c r="C40" t="s">
        <v>77</v>
      </c>
      <c r="D40" t="s">
        <v>78</v>
      </c>
      <c r="E40" t="s">
        <v>56</v>
      </c>
      <c r="F40" t="s">
        <v>79</v>
      </c>
      <c r="G40">
        <v>2</v>
      </c>
      <c r="H40" t="s">
        <v>10</v>
      </c>
    </row>
    <row r="41" spans="1:8" x14ac:dyDescent="0.25">
      <c r="A41">
        <v>50</v>
      </c>
      <c r="B41">
        <v>0</v>
      </c>
      <c r="C41" t="s">
        <v>114</v>
      </c>
      <c r="D41" t="s">
        <v>115</v>
      </c>
      <c r="E41" t="s">
        <v>56</v>
      </c>
      <c r="F41" t="s">
        <v>79</v>
      </c>
      <c r="G41">
        <v>2</v>
      </c>
      <c r="H41" t="s">
        <v>10</v>
      </c>
    </row>
    <row r="42" spans="1:8" x14ac:dyDescent="0.25">
      <c r="A42">
        <v>50</v>
      </c>
      <c r="B42">
        <v>0</v>
      </c>
      <c r="C42" t="s">
        <v>90</v>
      </c>
      <c r="D42" t="s">
        <v>91</v>
      </c>
      <c r="E42" t="s">
        <v>56</v>
      </c>
      <c r="F42" t="s">
        <v>79</v>
      </c>
      <c r="G42">
        <v>1</v>
      </c>
      <c r="H42" t="s">
        <v>10</v>
      </c>
    </row>
    <row r="43" spans="1:8" x14ac:dyDescent="0.25">
      <c r="A43">
        <v>50</v>
      </c>
      <c r="B43">
        <v>0</v>
      </c>
      <c r="C43" t="s">
        <v>80</v>
      </c>
      <c r="D43" t="s">
        <v>81</v>
      </c>
      <c r="E43" t="s">
        <v>56</v>
      </c>
      <c r="F43" t="s">
        <v>79</v>
      </c>
      <c r="G43">
        <v>1</v>
      </c>
      <c r="H43" t="s">
        <v>10</v>
      </c>
    </row>
    <row r="44" spans="1:8" x14ac:dyDescent="0.25">
      <c r="A44">
        <v>50</v>
      </c>
      <c r="B44">
        <v>0</v>
      </c>
      <c r="C44" t="s">
        <v>82</v>
      </c>
      <c r="D44" t="s">
        <v>83</v>
      </c>
      <c r="E44" t="s">
        <v>56</v>
      </c>
      <c r="F44" t="s">
        <v>79</v>
      </c>
      <c r="G44">
        <v>2</v>
      </c>
      <c r="H44" t="s">
        <v>10</v>
      </c>
    </row>
    <row r="45" spans="1:8" x14ac:dyDescent="0.25">
      <c r="A45">
        <v>50</v>
      </c>
      <c r="B45">
        <v>0</v>
      </c>
      <c r="C45" t="s">
        <v>84</v>
      </c>
      <c r="D45" t="s">
        <v>85</v>
      </c>
      <c r="E45" t="s">
        <v>56</v>
      </c>
      <c r="F45" t="s">
        <v>79</v>
      </c>
      <c r="G45">
        <v>7</v>
      </c>
      <c r="H45" t="s">
        <v>10</v>
      </c>
    </row>
    <row r="46" spans="1:8" x14ac:dyDescent="0.25">
      <c r="A46" t="s">
        <v>157</v>
      </c>
      <c r="B46">
        <v>0</v>
      </c>
      <c r="C46" t="s">
        <v>102</v>
      </c>
      <c r="D46" t="s">
        <v>76</v>
      </c>
      <c r="E46" t="s">
        <v>103</v>
      </c>
      <c r="F46" t="s">
        <v>104</v>
      </c>
      <c r="G46">
        <v>4</v>
      </c>
      <c r="H46" t="s">
        <v>10</v>
      </c>
    </row>
    <row r="47" spans="1:8" x14ac:dyDescent="0.25">
      <c r="A47">
        <v>4</v>
      </c>
      <c r="B47">
        <v>0</v>
      </c>
      <c r="C47" t="s">
        <v>92</v>
      </c>
      <c r="D47" t="s">
        <v>93</v>
      </c>
      <c r="E47" t="s">
        <v>56</v>
      </c>
      <c r="F47" t="s">
        <v>94</v>
      </c>
      <c r="G47">
        <v>1</v>
      </c>
      <c r="H47" t="s">
        <v>10</v>
      </c>
    </row>
    <row r="48" spans="1:8" x14ac:dyDescent="0.25">
      <c r="B48">
        <v>0</v>
      </c>
      <c r="C48" t="s">
        <v>116</v>
      </c>
      <c r="D48" t="s">
        <v>146</v>
      </c>
      <c r="E48" t="s">
        <v>97</v>
      </c>
      <c r="F48" t="s">
        <v>98</v>
      </c>
      <c r="G48">
        <v>1</v>
      </c>
      <c r="H48" t="s">
        <v>10</v>
      </c>
    </row>
    <row r="49" spans="2:8" x14ac:dyDescent="0.25">
      <c r="B49">
        <v>20</v>
      </c>
      <c r="C49" t="s">
        <v>95</v>
      </c>
      <c r="D49" t="s">
        <v>146</v>
      </c>
      <c r="E49" t="s">
        <v>97</v>
      </c>
      <c r="F49" t="s">
        <v>98</v>
      </c>
      <c r="G49">
        <v>2</v>
      </c>
      <c r="H49" t="s">
        <v>10</v>
      </c>
    </row>
    <row r="56" spans="2:8" x14ac:dyDescent="0.25">
      <c r="B56" s="1">
        <v>11.74</v>
      </c>
    </row>
    <row r="57" spans="2:8" x14ac:dyDescent="0.25">
      <c r="B57" s="1">
        <v>0.7</v>
      </c>
    </row>
    <row r="58" spans="2:8" x14ac:dyDescent="0.25">
      <c r="B58" s="1">
        <v>2.4300000000000002</v>
      </c>
    </row>
    <row r="59" spans="2:8" x14ac:dyDescent="0.25">
      <c r="B59" s="2">
        <f>SUM(B56:B58)</f>
        <v>14.87</v>
      </c>
    </row>
  </sheetData>
  <phoneticPr fontId="1" type="noConversion"/>
  <pageMargins left="0.7" right="0.7" top="0.75" bottom="0.75" header="0.3" footer="0.3"/>
  <pageSetup orientation="portrait"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AB75B1FF-195F-4A33-B42A-3F8ACA4FE2B2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Main-Board-BOM</vt:lpstr>
      <vt:lpstr>4-Row-POT-BOM</vt:lpstr>
      <vt:lpstr>2-Band-BOM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Fuguru</dc:creator>
  <cp:lastModifiedBy>Jacob Miller</cp:lastModifiedBy>
  <dcterms:created xsi:type="dcterms:W3CDTF">2015-06-05T18:17:20Z</dcterms:created>
  <dcterms:modified xsi:type="dcterms:W3CDTF">2024-11-24T17:40:07Z</dcterms:modified>
</cp:coreProperties>
</file>